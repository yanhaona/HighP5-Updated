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F:\Programming\HighP5\experiments\segmented-mem\fugaku\"/>
    </mc:Choice>
  </mc:AlternateContent>
  <xr:revisionPtr revIDLastSave="0" documentId="13_ncr:1_{6142834F-63B7-4CA5-B4A4-462C921CD11F}" xr6:coauthVersionLast="47" xr6:coauthVersionMax="47" xr10:uidLastSave="{00000000-0000-0000-0000-000000000000}"/>
  <bookViews>
    <workbookView xWindow="-108" yWindow="-108" windowWidth="23256" windowHeight="12576" activeTab="1" xr2:uid="{00000000-000D-0000-FFFF-FFFF00000000}"/>
  </bookViews>
  <sheets>
    <sheet name="Block-LUF" sheetId="1" r:id="rId1"/>
    <sheet name="Stencil"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 i="2" l="1"/>
  <c r="E11" i="2"/>
  <c r="E9" i="2"/>
  <c r="E6" i="2"/>
  <c r="E5" i="2"/>
  <c r="E4" i="2"/>
  <c r="D11" i="2"/>
  <c r="D10" i="2"/>
  <c r="D9" i="2"/>
  <c r="D6" i="2"/>
  <c r="D5" i="2"/>
  <c r="D4" i="2"/>
  <c r="E5" i="1"/>
  <c r="E6" i="1"/>
  <c r="E9" i="1"/>
  <c r="E10" i="1"/>
  <c r="E11" i="1"/>
  <c r="E4" i="1"/>
  <c r="D10" i="1"/>
  <c r="D11" i="1"/>
  <c r="D9" i="1"/>
  <c r="D5" i="1"/>
  <c r="D4" i="1"/>
  <c r="D6" i="1"/>
</calcChain>
</file>

<file path=xl/sharedStrings.xml><?xml version="1.0" encoding="utf-8"?>
<sst xmlns="http://schemas.openxmlformats.org/spreadsheetml/2006/main" count="14" uniqueCount="9">
  <si>
    <t>Current Version</t>
  </si>
  <si>
    <t>Disable Caching</t>
  </si>
  <si>
    <t>Disable Processing Optimization</t>
  </si>
  <si>
    <t>Disable Data Transfer Optimization</t>
  </si>
  <si>
    <t>Disable Parallel Initialization</t>
  </si>
  <si>
    <t>Disable Sync Primitive Optimization</t>
  </si>
  <si>
    <r>
      <rPr>
        <b/>
        <sz val="11"/>
        <color theme="1"/>
        <rFont val="Calibri"/>
        <family val="2"/>
        <scheme val="minor"/>
      </rPr>
      <t xml:space="preserve">Configuration: </t>
    </r>
    <r>
      <rPr>
        <sz val="11"/>
        <color theme="1"/>
        <rFont val="Calibri"/>
        <family val="2"/>
        <scheme val="minor"/>
      </rPr>
      <t>64 Nodes
48 Threads Per Node
A square matrix of 41952 dimensions
64 by 256 blocking</t>
    </r>
  </si>
  <si>
    <t>Disable Buffer Processing Optimization</t>
  </si>
  <si>
    <r>
      <rPr>
        <b/>
        <sz val="11"/>
        <color theme="1"/>
        <rFont val="Calibri"/>
        <family val="2"/>
        <scheme val="minor"/>
      </rPr>
      <t xml:space="preserve">Configuration: </t>
    </r>
    <r>
      <rPr>
        <sz val="11"/>
        <color theme="1"/>
        <rFont val="Calibri"/>
        <family val="2"/>
        <scheme val="minor"/>
      </rPr>
      <t>Node count: 64; Threads/cores per nodes: 48
Plate Size 409600 by 2048; Upper Layer Padding: 32 rows; Lower Layer Padding: 2 rows; Outward Iterations: 1250
The experiment is done on an unusual time in Fugaku when point-to-point communication was performing abysmally bad and the results were not matching the results of previous experiments on same input and parameter configurations for either the reference program and the HighP5 program versions. So we have to drastically reduce the number of iterations and increase the amount of padding in the upper layer to dampen the impact of highly costly MPI point-to-point communications.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</si>
</sst>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7">
    <xf numFmtId="0" fontId="0" fillId="0" borderId="0" xfId="0"/>
    <xf numFmtId="0" fontId="0" fillId="0" borderId="1" xfId="0" applyBorder="1"/>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2" borderId="0" xfId="0" applyFill="1" applyAlignment="1">
      <alignment horizontal="center" vertical="center" wrapText="1"/>
    </xf>
    <xf numFmtId="0" fontId="0" fillId="2"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J11"/>
  <sheetViews>
    <sheetView workbookViewId="0">
      <selection activeCell="E11" sqref="B4:E11"/>
    </sheetView>
  </sheetViews>
  <sheetFormatPr defaultRowHeight="14.4" x14ac:dyDescent="0.3"/>
  <cols>
    <col min="2" max="2" width="33.44140625" customWidth="1"/>
    <col min="3" max="3" width="14.88671875" customWidth="1"/>
  </cols>
  <sheetData>
    <row r="4" spans="2:10" x14ac:dyDescent="0.3">
      <c r="B4" s="1" t="s">
        <v>0</v>
      </c>
      <c r="C4" s="1">
        <v>1543.84</v>
      </c>
      <c r="D4" s="1">
        <f>C4</f>
        <v>1543.84</v>
      </c>
      <c r="E4" s="1">
        <f>D4/1543.84</f>
        <v>1</v>
      </c>
      <c r="G4" s="5" t="s">
        <v>6</v>
      </c>
      <c r="H4" s="6"/>
      <c r="I4" s="6"/>
      <c r="J4" s="6"/>
    </row>
    <row r="5" spans="2:10" x14ac:dyDescent="0.3">
      <c r="B5" s="1" t="s">
        <v>1</v>
      </c>
      <c r="C5" s="1">
        <v>1654.62</v>
      </c>
      <c r="D5" s="1">
        <f>C5</f>
        <v>1654.62</v>
      </c>
      <c r="E5" s="1">
        <f t="shared" ref="E5:E11" si="0">D5/1543.84</f>
        <v>1.0717561405326976</v>
      </c>
      <c r="G5" s="6"/>
      <c r="H5" s="6"/>
      <c r="I5" s="6"/>
      <c r="J5" s="6"/>
    </row>
    <row r="6" spans="2:10" x14ac:dyDescent="0.3">
      <c r="B6" s="2" t="s">
        <v>2</v>
      </c>
      <c r="C6" s="1">
        <v>1768.78</v>
      </c>
      <c r="D6" s="2">
        <f>AVERAGE(C6:C8)</f>
        <v>1763.75</v>
      </c>
      <c r="E6" s="2">
        <f t="shared" si="0"/>
        <v>1.1424435174629497</v>
      </c>
      <c r="G6" s="6"/>
      <c r="H6" s="6"/>
      <c r="I6" s="6"/>
      <c r="J6" s="6"/>
    </row>
    <row r="7" spans="2:10" x14ac:dyDescent="0.3">
      <c r="B7" s="3"/>
      <c r="C7" s="1">
        <v>1739.56</v>
      </c>
      <c r="D7" s="3"/>
      <c r="E7" s="3"/>
      <c r="G7" s="6"/>
      <c r="H7" s="6"/>
      <c r="I7" s="6"/>
      <c r="J7" s="6"/>
    </row>
    <row r="8" spans="2:10" x14ac:dyDescent="0.3">
      <c r="B8" s="4"/>
      <c r="C8" s="1">
        <v>1782.91</v>
      </c>
      <c r="D8" s="4"/>
      <c r="E8" s="4"/>
      <c r="G8" s="6"/>
      <c r="H8" s="6"/>
      <c r="I8" s="6"/>
      <c r="J8" s="6"/>
    </row>
    <row r="9" spans="2:10" x14ac:dyDescent="0.3">
      <c r="B9" s="1" t="s">
        <v>3</v>
      </c>
      <c r="C9" s="1">
        <v>1875.28</v>
      </c>
      <c r="D9" s="1">
        <f>C9</f>
        <v>1875.28</v>
      </c>
      <c r="E9" s="1">
        <f t="shared" si="0"/>
        <v>1.2146854596331227</v>
      </c>
      <c r="G9" s="6"/>
      <c r="H9" s="6"/>
      <c r="I9" s="6"/>
      <c r="J9" s="6"/>
    </row>
    <row r="10" spans="2:10" x14ac:dyDescent="0.3">
      <c r="B10" s="1" t="s">
        <v>4</v>
      </c>
      <c r="C10" s="1">
        <v>2150.35</v>
      </c>
      <c r="D10" s="1">
        <f t="shared" ref="D10:D11" si="1">C10</f>
        <v>2150.35</v>
      </c>
      <c r="E10" s="1">
        <f t="shared" si="0"/>
        <v>1.3928580681935951</v>
      </c>
      <c r="G10" s="6"/>
      <c r="H10" s="6"/>
      <c r="I10" s="6"/>
      <c r="J10" s="6"/>
    </row>
    <row r="11" spans="2:10" x14ac:dyDescent="0.3">
      <c r="B11" s="1" t="s">
        <v>5</v>
      </c>
      <c r="C11" s="1">
        <v>2967.49</v>
      </c>
      <c r="D11" s="1">
        <f t="shared" si="1"/>
        <v>2967.49</v>
      </c>
      <c r="E11" s="1">
        <f t="shared" si="0"/>
        <v>1.9221486682557778</v>
      </c>
      <c r="G11" s="6"/>
      <c r="H11" s="6"/>
      <c r="I11" s="6"/>
      <c r="J11" s="6"/>
    </row>
  </sheetData>
  <mergeCells count="4">
    <mergeCell ref="B6:B8"/>
    <mergeCell ref="D6:D8"/>
    <mergeCell ref="G4:J11"/>
    <mergeCell ref="E6:E8"/>
  </mergeCells>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6D7AA-B75B-4463-91D8-1541A00A09E1}">
  <dimension ref="B4:O17"/>
  <sheetViews>
    <sheetView tabSelected="1" workbookViewId="0">
      <selection activeCell="G24" sqref="G24"/>
    </sheetView>
  </sheetViews>
  <sheetFormatPr defaultRowHeight="14.4" x14ac:dyDescent="0.3"/>
  <cols>
    <col min="2" max="2" width="35.33203125" customWidth="1"/>
    <col min="3" max="3" width="17.33203125" customWidth="1"/>
    <col min="4" max="5" width="11.5546875" customWidth="1"/>
  </cols>
  <sheetData>
    <row r="4" spans="2:15" ht="14.4" customHeight="1" x14ac:dyDescent="0.3">
      <c r="B4" s="1" t="s">
        <v>0</v>
      </c>
      <c r="C4" s="1">
        <v>2460.7600000000002</v>
      </c>
      <c r="D4" s="1">
        <f>C4</f>
        <v>2460.7600000000002</v>
      </c>
      <c r="E4" s="1">
        <f>D4/2460.76</f>
        <v>1</v>
      </c>
      <c r="G4" s="5" t="s">
        <v>8</v>
      </c>
      <c r="H4" s="5"/>
      <c r="I4" s="5"/>
      <c r="J4" s="5"/>
      <c r="K4" s="5"/>
      <c r="L4" s="5"/>
      <c r="M4" s="5"/>
      <c r="N4" s="5"/>
      <c r="O4" s="5"/>
    </row>
    <row r="5" spans="2:15" x14ac:dyDescent="0.3">
      <c r="B5" s="1" t="s">
        <v>1</v>
      </c>
      <c r="C5" s="1">
        <v>2462.7800000000002</v>
      </c>
      <c r="D5" s="1">
        <f>C5</f>
        <v>2462.7800000000002</v>
      </c>
      <c r="E5" s="1">
        <f>D5/2460.76</f>
        <v>1.0008208846047562</v>
      </c>
      <c r="G5" s="5"/>
      <c r="H5" s="5"/>
      <c r="I5" s="5"/>
      <c r="J5" s="5"/>
      <c r="K5" s="5"/>
      <c r="L5" s="5"/>
      <c r="M5" s="5"/>
      <c r="N5" s="5"/>
      <c r="O5" s="5"/>
    </row>
    <row r="6" spans="2:15" x14ac:dyDescent="0.3">
      <c r="B6" s="2" t="s">
        <v>7</v>
      </c>
      <c r="C6" s="1">
        <v>2576.9499999999998</v>
      </c>
      <c r="D6" s="2">
        <f>AVERAGE(C6:C8)</f>
        <v>2574.92</v>
      </c>
      <c r="E6" s="2">
        <f>D6/2460.76</f>
        <v>1.0463921715242446</v>
      </c>
      <c r="G6" s="5"/>
      <c r="H6" s="5"/>
      <c r="I6" s="5"/>
      <c r="J6" s="5"/>
      <c r="K6" s="5"/>
      <c r="L6" s="5"/>
      <c r="M6" s="5"/>
      <c r="N6" s="5"/>
      <c r="O6" s="5"/>
    </row>
    <row r="7" spans="2:15" x14ac:dyDescent="0.3">
      <c r="B7" s="3"/>
      <c r="C7" s="1">
        <v>2574.2399999999998</v>
      </c>
      <c r="D7" s="3"/>
      <c r="E7" s="3"/>
      <c r="G7" s="5"/>
      <c r="H7" s="5"/>
      <c r="I7" s="5"/>
      <c r="J7" s="5"/>
      <c r="K7" s="5"/>
      <c r="L7" s="5"/>
      <c r="M7" s="5"/>
      <c r="N7" s="5"/>
      <c r="O7" s="5"/>
    </row>
    <row r="8" spans="2:15" x14ac:dyDescent="0.3">
      <c r="B8" s="4"/>
      <c r="C8" s="1">
        <v>2573.5700000000002</v>
      </c>
      <c r="D8" s="4"/>
      <c r="E8" s="4"/>
      <c r="G8" s="5"/>
      <c r="H8" s="5"/>
      <c r="I8" s="5"/>
      <c r="J8" s="5"/>
      <c r="K8" s="5"/>
      <c r="L8" s="5"/>
      <c r="M8" s="5"/>
      <c r="N8" s="5"/>
      <c r="O8" s="5"/>
    </row>
    <row r="9" spans="2:15" x14ac:dyDescent="0.3">
      <c r="B9" s="1" t="s">
        <v>3</v>
      </c>
      <c r="C9" s="1">
        <v>4485.71</v>
      </c>
      <c r="D9" s="1">
        <f>C9</f>
        <v>4485.71</v>
      </c>
      <c r="E9" s="1">
        <f>D9/2460.76</f>
        <v>1.8228961784164242</v>
      </c>
      <c r="G9" s="5"/>
      <c r="H9" s="5"/>
      <c r="I9" s="5"/>
      <c r="J9" s="5"/>
      <c r="K9" s="5"/>
      <c r="L9" s="5"/>
      <c r="M9" s="5"/>
      <c r="N9" s="5"/>
      <c r="O9" s="5"/>
    </row>
    <row r="10" spans="2:15" x14ac:dyDescent="0.3">
      <c r="B10" s="1" t="s">
        <v>4</v>
      </c>
      <c r="C10" s="1">
        <v>4455.88</v>
      </c>
      <c r="D10" s="1">
        <f t="shared" ref="D10:D11" si="0">C10</f>
        <v>4455.88</v>
      </c>
      <c r="E10" s="1">
        <f t="shared" ref="E10:E11" si="1">D10/2460.76</f>
        <v>1.8107739072481672</v>
      </c>
      <c r="G10" s="5"/>
      <c r="H10" s="5"/>
      <c r="I10" s="5"/>
      <c r="J10" s="5"/>
      <c r="K10" s="5"/>
      <c r="L10" s="5"/>
      <c r="M10" s="5"/>
      <c r="N10" s="5"/>
      <c r="O10" s="5"/>
    </row>
    <row r="11" spans="2:15" x14ac:dyDescent="0.3">
      <c r="B11" s="1" t="s">
        <v>5</v>
      </c>
      <c r="C11" s="1">
        <v>4602.57</v>
      </c>
      <c r="D11" s="1">
        <f t="shared" si="0"/>
        <v>4602.57</v>
      </c>
      <c r="E11" s="1">
        <f t="shared" si="1"/>
        <v>1.8703855719371247</v>
      </c>
      <c r="G11" s="5"/>
      <c r="H11" s="5"/>
      <c r="I11" s="5"/>
      <c r="J11" s="5"/>
      <c r="K11" s="5"/>
      <c r="L11" s="5"/>
      <c r="M11" s="5"/>
      <c r="N11" s="5"/>
      <c r="O11" s="5"/>
    </row>
    <row r="12" spans="2:15" x14ac:dyDescent="0.3">
      <c r="G12" s="5"/>
      <c r="H12" s="5"/>
      <c r="I12" s="5"/>
      <c r="J12" s="5"/>
      <c r="K12" s="5"/>
      <c r="L12" s="5"/>
      <c r="M12" s="5"/>
      <c r="N12" s="5"/>
      <c r="O12" s="5"/>
    </row>
    <row r="13" spans="2:15" x14ac:dyDescent="0.3">
      <c r="G13" s="5"/>
      <c r="H13" s="5"/>
      <c r="I13" s="5"/>
      <c r="J13" s="5"/>
      <c r="K13" s="5"/>
      <c r="L13" s="5"/>
      <c r="M13" s="5"/>
      <c r="N13" s="5"/>
      <c r="O13" s="5"/>
    </row>
    <row r="14" spans="2:15" x14ac:dyDescent="0.3">
      <c r="G14" s="5"/>
      <c r="H14" s="5"/>
      <c r="I14" s="5"/>
      <c r="J14" s="5"/>
      <c r="K14" s="5"/>
      <c r="L14" s="5"/>
      <c r="M14" s="5"/>
      <c r="N14" s="5"/>
      <c r="O14" s="5"/>
    </row>
    <row r="15" spans="2:15" x14ac:dyDescent="0.3">
      <c r="G15" s="5"/>
      <c r="H15" s="5"/>
      <c r="I15" s="5"/>
      <c r="J15" s="5"/>
      <c r="K15" s="5"/>
      <c r="L15" s="5"/>
      <c r="M15" s="5"/>
      <c r="N15" s="5"/>
      <c r="O15" s="5"/>
    </row>
    <row r="16" spans="2:15" x14ac:dyDescent="0.3">
      <c r="G16" s="5"/>
      <c r="H16" s="5"/>
      <c r="I16" s="5"/>
      <c r="J16" s="5"/>
      <c r="K16" s="5"/>
      <c r="L16" s="5"/>
      <c r="M16" s="5"/>
      <c r="N16" s="5"/>
      <c r="O16" s="5"/>
    </row>
    <row r="17" spans="7:15" x14ac:dyDescent="0.3">
      <c r="G17" s="5"/>
      <c r="H17" s="5"/>
      <c r="I17" s="5"/>
      <c r="J17" s="5"/>
      <c r="K17" s="5"/>
      <c r="L17" s="5"/>
      <c r="M17" s="5"/>
      <c r="N17" s="5"/>
      <c r="O17" s="5"/>
    </row>
  </sheetData>
  <mergeCells count="4">
    <mergeCell ref="B6:B8"/>
    <mergeCell ref="D6:D8"/>
    <mergeCell ref="E6:E8"/>
    <mergeCell ref="G4:O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Block-LUF</vt:lpstr>
      <vt:lpstr>Stencil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2015-06-05T18:17:20Z</dcterms:created>
  <dcterms:modified xsi:type="dcterms:W3CDTF">2026-09-28T04:01:31Z</dcterms:modified>
</cp:coreProperties>
</file>