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Programming\HighP5\experiments\segmented-mem\fugaku\"/>
    </mc:Choice>
  </mc:AlternateContent>
  <xr:revisionPtr revIDLastSave="0" documentId="13_ncr:1_{27701CDB-2E13-4A26-8B02-CF2B485CC12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ighP5-Bluf" sheetId="1" r:id="rId1"/>
    <sheet name="Ref-Bluf" sheetId="2" r:id="rId2"/>
    <sheet name="HighP5-Stencil" sheetId="3" r:id="rId3"/>
    <sheet name="Ref-Stencil" sheetId="4" r:id="rId4"/>
    <sheet name="HighP5-CG" sheetId="5" r:id="rId5"/>
    <sheet name="Reference-C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" l="1"/>
  <c r="C28" i="2"/>
  <c r="B28" i="2"/>
  <c r="A28" i="2"/>
  <c r="B12" i="6"/>
  <c r="C12" i="6"/>
  <c r="D12" i="6"/>
  <c r="A12" i="6"/>
  <c r="B14" i="5"/>
  <c r="C14" i="5"/>
  <c r="D14" i="5"/>
  <c r="A14" i="5"/>
  <c r="B12" i="4"/>
  <c r="C12" i="4"/>
  <c r="D12" i="4"/>
  <c r="A12" i="4"/>
  <c r="B10" i="3"/>
  <c r="C10" i="3"/>
  <c r="D10" i="3"/>
  <c r="A10" i="3"/>
  <c r="B14" i="2"/>
  <c r="C14" i="2"/>
  <c r="D14" i="2"/>
  <c r="A14" i="2"/>
  <c r="B22" i="1"/>
  <c r="C22" i="1"/>
  <c r="D22" i="1"/>
  <c r="A22" i="1"/>
</calcChain>
</file>

<file path=xl/sharedStrings.xml><?xml version="1.0" encoding="utf-8"?>
<sst xmlns="http://schemas.openxmlformats.org/spreadsheetml/2006/main" count="35" uniqueCount="10">
  <si>
    <t>Memory</t>
  </si>
  <si>
    <t>Communication</t>
  </si>
  <si>
    <t>Computation</t>
  </si>
  <si>
    <t>Execution</t>
  </si>
  <si>
    <t>100 Nodes. 32 Threads Per Node. Input Matrix Size 51200 by 51200</t>
  </si>
  <si>
    <t>100 Nodes 32 MPI Process Per Node for 51200 by 51200 Matrix</t>
  </si>
  <si>
    <t>100 Nodes 32 Threads Per Node 4 rows padding for a 204800 by 2048 Plate. 1D Partitioning and 10000 Jacobi Iterations.</t>
  </si>
  <si>
    <t>100 Nodes 32 MPI Process Per Node 4 rows padding for a 204800 by 2048 Plate. 1D Partitioning and 10000 Jacobi Iterations.</t>
  </si>
  <si>
    <t>100 Nodes 8 MPI Processes Per Node. A 51200 by 51200 Square Matrix that is 90% Sparse and 51200 gradient descend iterations.</t>
  </si>
  <si>
    <t>200 Nodes 32 MPI Process Per Node for 51200 by 51200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</si>
</sst>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L15" sqref="L15"/>
    </sheetView>
  </sheetViews>
  <sheetFormatPr defaultRowHeight="14.4" x14ac:dyDescent="0.3"/>
  <cols>
    <col min="2" max="2" width="14.88671875" customWidth="1"/>
    <col min="3" max="3" width="15.109375" customWidth="1"/>
    <col min="4" max="4" width="1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">
      <c r="A2">
        <v>129.09299999999999</v>
      </c>
      <c r="B2">
        <v>424.221</v>
      </c>
      <c r="C2">
        <v>812.654</v>
      </c>
      <c r="D2">
        <v>1366.02</v>
      </c>
    </row>
    <row r="3" spans="1:9" x14ac:dyDescent="0.3">
      <c r="A3">
        <v>126.98</v>
      </c>
      <c r="B3">
        <v>360.87200000000001</v>
      </c>
      <c r="C3">
        <v>875.44899999999996</v>
      </c>
      <c r="D3">
        <v>1363.37</v>
      </c>
    </row>
    <row r="4" spans="1:9" x14ac:dyDescent="0.3">
      <c r="A4">
        <v>126.163</v>
      </c>
      <c r="B4">
        <v>398.43799999999999</v>
      </c>
      <c r="C4">
        <v>885.74</v>
      </c>
      <c r="D4">
        <v>1410.4</v>
      </c>
    </row>
    <row r="5" spans="1:9" x14ac:dyDescent="0.3">
      <c r="A5">
        <v>123.542</v>
      </c>
      <c r="B5">
        <v>344.01799999999997</v>
      </c>
      <c r="C5">
        <v>910.31200000000001</v>
      </c>
      <c r="D5">
        <v>1377.92</v>
      </c>
    </row>
    <row r="6" spans="1:9" x14ac:dyDescent="0.3">
      <c r="A6">
        <v>135.11699999999999</v>
      </c>
      <c r="B6">
        <v>436.73500000000001</v>
      </c>
      <c r="C6">
        <v>874.15700000000004</v>
      </c>
      <c r="D6">
        <v>1446.1</v>
      </c>
    </row>
    <row r="7" spans="1:9" x14ac:dyDescent="0.3">
      <c r="A7">
        <v>115.30500000000001</v>
      </c>
      <c r="B7">
        <v>384.33300000000003</v>
      </c>
      <c r="C7">
        <v>884.24</v>
      </c>
      <c r="D7">
        <v>1383.96</v>
      </c>
    </row>
    <row r="8" spans="1:9" x14ac:dyDescent="0.3">
      <c r="A8">
        <v>96.441800000000001</v>
      </c>
      <c r="B8">
        <v>413.56900000000002</v>
      </c>
      <c r="C8">
        <v>851.56600000000003</v>
      </c>
      <c r="D8">
        <v>1361.64</v>
      </c>
      <c r="G8" s="3" t="s">
        <v>4</v>
      </c>
      <c r="H8" s="3"/>
      <c r="I8" s="3"/>
    </row>
    <row r="9" spans="1:9" x14ac:dyDescent="0.3">
      <c r="A9">
        <v>95.735100000000003</v>
      </c>
      <c r="B9">
        <v>412.71100000000001</v>
      </c>
      <c r="C9">
        <v>818.57500000000005</v>
      </c>
      <c r="D9">
        <v>1327.09</v>
      </c>
      <c r="G9" s="3"/>
      <c r="H9" s="3"/>
      <c r="I9" s="3"/>
    </row>
    <row r="10" spans="1:9" x14ac:dyDescent="0.3">
      <c r="A10">
        <v>93.926500000000004</v>
      </c>
      <c r="B10">
        <v>467.392</v>
      </c>
      <c r="C10">
        <v>818.245</v>
      </c>
      <c r="D10">
        <v>1379.63</v>
      </c>
      <c r="G10" s="3"/>
      <c r="H10" s="3"/>
      <c r="I10" s="3"/>
    </row>
    <row r="11" spans="1:9" x14ac:dyDescent="0.3">
      <c r="A11">
        <v>101.646</v>
      </c>
      <c r="B11">
        <v>397.096</v>
      </c>
      <c r="C11">
        <v>860.82100000000003</v>
      </c>
      <c r="D11">
        <v>1359.65</v>
      </c>
      <c r="G11" s="3"/>
      <c r="H11" s="3"/>
      <c r="I11" s="3"/>
    </row>
    <row r="12" spans="1:9" x14ac:dyDescent="0.3">
      <c r="A12">
        <v>128.464</v>
      </c>
      <c r="B12">
        <v>293.78899999999999</v>
      </c>
      <c r="C12">
        <v>943.702</v>
      </c>
      <c r="D12">
        <v>1366.02</v>
      </c>
      <c r="G12" s="3"/>
      <c r="H12" s="3"/>
      <c r="I12" s="3"/>
    </row>
    <row r="13" spans="1:9" x14ac:dyDescent="0.3">
      <c r="A13">
        <v>127.07</v>
      </c>
      <c r="B13">
        <v>371.38600000000002</v>
      </c>
      <c r="C13">
        <v>864.85799999999995</v>
      </c>
      <c r="D13">
        <v>1363.37</v>
      </c>
      <c r="G13" s="3"/>
      <c r="H13" s="3"/>
      <c r="I13" s="3"/>
    </row>
    <row r="14" spans="1:9" x14ac:dyDescent="0.3">
      <c r="A14">
        <v>125.85599999999999</v>
      </c>
      <c r="B14">
        <v>414.25099999999998</v>
      </c>
      <c r="C14">
        <v>870.24300000000005</v>
      </c>
      <c r="D14">
        <v>1410.4</v>
      </c>
      <c r="G14" s="3"/>
      <c r="H14" s="3"/>
      <c r="I14" s="3"/>
    </row>
    <row r="15" spans="1:9" x14ac:dyDescent="0.3">
      <c r="A15">
        <v>123.331</v>
      </c>
      <c r="B15">
        <v>330.33199999999999</v>
      </c>
      <c r="C15">
        <v>924.18</v>
      </c>
      <c r="D15">
        <v>1377.92</v>
      </c>
      <c r="G15" s="3"/>
      <c r="H15" s="3"/>
      <c r="I15" s="3"/>
    </row>
    <row r="16" spans="1:9" x14ac:dyDescent="0.3">
      <c r="A16">
        <v>134.59399999999999</v>
      </c>
      <c r="B16">
        <v>406.11799999999999</v>
      </c>
      <c r="C16">
        <v>905.29899999999998</v>
      </c>
      <c r="D16">
        <v>1446.11</v>
      </c>
      <c r="G16" s="3"/>
      <c r="H16" s="3"/>
      <c r="I16" s="3"/>
    </row>
    <row r="17" spans="1:9" x14ac:dyDescent="0.3">
      <c r="A17">
        <v>115.239</v>
      </c>
      <c r="B17">
        <v>325.60500000000002</v>
      </c>
      <c r="C17">
        <v>943.02800000000002</v>
      </c>
      <c r="D17">
        <v>1383.96</v>
      </c>
      <c r="G17" s="3"/>
      <c r="H17" s="3"/>
      <c r="I17" s="3"/>
    </row>
    <row r="18" spans="1:9" x14ac:dyDescent="0.3">
      <c r="A18">
        <v>95.943299999999994</v>
      </c>
      <c r="B18">
        <v>338.16399999999999</v>
      </c>
      <c r="C18">
        <v>927.46600000000001</v>
      </c>
      <c r="D18">
        <v>1361.64</v>
      </c>
      <c r="G18" s="3"/>
      <c r="H18" s="3"/>
      <c r="I18" s="3"/>
    </row>
    <row r="19" spans="1:9" x14ac:dyDescent="0.3">
      <c r="A19">
        <v>95.311599999999999</v>
      </c>
      <c r="B19">
        <v>373.36</v>
      </c>
      <c r="C19">
        <v>858.36300000000006</v>
      </c>
      <c r="D19">
        <v>1327.09</v>
      </c>
    </row>
    <row r="20" spans="1:9" x14ac:dyDescent="0.3">
      <c r="A20">
        <v>94.222300000000004</v>
      </c>
      <c r="B20">
        <v>357.54500000000002</v>
      </c>
      <c r="C20">
        <v>927.78700000000003</v>
      </c>
      <c r="D20">
        <v>1379.63</v>
      </c>
    </row>
    <row r="21" spans="1:9" x14ac:dyDescent="0.3">
      <c r="A21">
        <v>101.58199999999999</v>
      </c>
      <c r="B21">
        <v>323.69200000000001</v>
      </c>
      <c r="C21">
        <v>934.29300000000001</v>
      </c>
      <c r="D21">
        <v>1359.65</v>
      </c>
    </row>
    <row r="22" spans="1:9" x14ac:dyDescent="0.3">
      <c r="A22" s="1">
        <f>AVERAGE(A2:A21)</f>
        <v>114.27812999999996</v>
      </c>
      <c r="B22" s="1">
        <f t="shared" ref="B22:D22" si="0">AVERAGE(B2:B21)</f>
        <v>378.68135000000007</v>
      </c>
      <c r="C22" s="1">
        <f t="shared" si="0"/>
        <v>884.54890000000012</v>
      </c>
      <c r="D22" s="1">
        <f t="shared" si="0"/>
        <v>1377.5785000000003</v>
      </c>
    </row>
  </sheetData>
  <mergeCells count="1">
    <mergeCell ref="G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9A06-15EE-46AA-8E1C-8081451551F4}">
  <dimension ref="A1:H28"/>
  <sheetViews>
    <sheetView tabSelected="1" topLeftCell="A3" workbookViewId="0">
      <selection activeCell="Q23" sqref="Q23"/>
    </sheetView>
  </sheetViews>
  <sheetFormatPr defaultRowHeight="14.4" x14ac:dyDescent="0.3"/>
  <cols>
    <col min="1" max="1" width="12.77734375" customWidth="1"/>
    <col min="2" max="2" width="15.109375" customWidth="1"/>
    <col min="3" max="3" width="13.109375" customWidth="1"/>
    <col min="4" max="4" width="15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</row>
    <row r="2" spans="1:8" x14ac:dyDescent="0.3">
      <c r="A2">
        <v>604.99</v>
      </c>
      <c r="B2">
        <v>258.94400000000002</v>
      </c>
      <c r="C2">
        <v>763.50400000000002</v>
      </c>
      <c r="D2">
        <v>1627.44</v>
      </c>
      <c r="E2" s="4"/>
      <c r="F2" s="4"/>
      <c r="G2" s="4"/>
      <c r="H2" s="4"/>
    </row>
    <row r="3" spans="1:8" x14ac:dyDescent="0.3">
      <c r="A3">
        <v>1097.1600000000001</v>
      </c>
      <c r="B3">
        <v>218.25200000000001</v>
      </c>
      <c r="C3">
        <v>763.404</v>
      </c>
      <c r="D3">
        <v>2078.81</v>
      </c>
      <c r="E3" s="4"/>
      <c r="F3" s="4"/>
      <c r="G3" s="4"/>
      <c r="H3" s="4"/>
    </row>
    <row r="4" spans="1:8" x14ac:dyDescent="0.3">
      <c r="A4">
        <v>1092.74</v>
      </c>
      <c r="B4">
        <v>234.245</v>
      </c>
      <c r="C4">
        <v>763.37199999999996</v>
      </c>
      <c r="D4">
        <v>2090.36</v>
      </c>
      <c r="E4" s="4"/>
      <c r="F4" s="4"/>
      <c r="G4" s="4"/>
      <c r="H4" s="4"/>
    </row>
    <row r="5" spans="1:8" x14ac:dyDescent="0.3">
      <c r="A5">
        <v>709.70799999999997</v>
      </c>
      <c r="B5">
        <v>231.488</v>
      </c>
      <c r="C5">
        <v>763.73400000000004</v>
      </c>
      <c r="D5">
        <v>1704.93</v>
      </c>
      <c r="E5" s="4"/>
      <c r="F5" s="5" t="s">
        <v>5</v>
      </c>
      <c r="G5" s="5"/>
      <c r="H5" s="5"/>
    </row>
    <row r="6" spans="1:8" x14ac:dyDescent="0.3">
      <c r="A6">
        <v>871.27800000000002</v>
      </c>
      <c r="B6">
        <v>229.804</v>
      </c>
      <c r="C6">
        <v>763.44100000000003</v>
      </c>
      <c r="D6">
        <v>1864.52</v>
      </c>
      <c r="E6" s="4"/>
      <c r="F6" s="5"/>
      <c r="G6" s="5"/>
      <c r="H6" s="5"/>
    </row>
    <row r="7" spans="1:8" x14ac:dyDescent="0.3">
      <c r="A7">
        <v>1383.03</v>
      </c>
      <c r="B7">
        <v>222.39</v>
      </c>
      <c r="C7">
        <v>763.50199999999995</v>
      </c>
      <c r="D7">
        <v>2368.92</v>
      </c>
      <c r="E7" s="4"/>
      <c r="F7" s="5"/>
      <c r="G7" s="5"/>
      <c r="H7" s="5"/>
    </row>
    <row r="8" spans="1:8" x14ac:dyDescent="0.3">
      <c r="A8">
        <v>834.39099999999996</v>
      </c>
      <c r="B8">
        <v>263.51</v>
      </c>
      <c r="C8">
        <v>763.58299999999997</v>
      </c>
      <c r="D8">
        <v>1861.48</v>
      </c>
      <c r="E8" s="4"/>
      <c r="F8" s="5"/>
      <c r="G8" s="5"/>
      <c r="H8" s="5"/>
    </row>
    <row r="9" spans="1:8" x14ac:dyDescent="0.3">
      <c r="A9">
        <v>1187.6300000000001</v>
      </c>
      <c r="B9">
        <v>238.06100000000001</v>
      </c>
      <c r="C9">
        <v>763.46</v>
      </c>
      <c r="D9">
        <v>2189.15</v>
      </c>
      <c r="E9" s="4"/>
      <c r="F9" s="5"/>
      <c r="G9" s="5"/>
      <c r="H9" s="5"/>
    </row>
    <row r="10" spans="1:8" x14ac:dyDescent="0.3">
      <c r="A10">
        <v>1339.32</v>
      </c>
      <c r="B10">
        <v>255.08600000000001</v>
      </c>
      <c r="C10">
        <v>763.42</v>
      </c>
      <c r="D10">
        <v>2357.83</v>
      </c>
      <c r="E10" s="4"/>
      <c r="F10" s="5"/>
      <c r="G10" s="5"/>
      <c r="H10" s="5"/>
    </row>
    <row r="11" spans="1:8" x14ac:dyDescent="0.3">
      <c r="A11">
        <v>945.19399999999996</v>
      </c>
      <c r="B11">
        <v>218.2</v>
      </c>
      <c r="C11">
        <v>761.91099999999994</v>
      </c>
      <c r="D11">
        <v>1925.3</v>
      </c>
      <c r="E11" s="4"/>
      <c r="F11" s="5"/>
      <c r="G11" s="5"/>
      <c r="H11" s="5"/>
    </row>
    <row r="12" spans="1:8" x14ac:dyDescent="0.3">
      <c r="A12">
        <v>853.57500000000005</v>
      </c>
      <c r="B12">
        <v>226.18700000000001</v>
      </c>
      <c r="C12">
        <v>762.77499999999998</v>
      </c>
      <c r="D12">
        <v>1842.54</v>
      </c>
      <c r="E12" s="4"/>
      <c r="F12" s="4"/>
      <c r="G12" s="4"/>
      <c r="H12" s="4"/>
    </row>
    <row r="13" spans="1:8" x14ac:dyDescent="0.3">
      <c r="A13">
        <v>1090.3800000000001</v>
      </c>
      <c r="B13">
        <v>219.33500000000001</v>
      </c>
      <c r="C13">
        <v>763.39</v>
      </c>
      <c r="D13">
        <v>2073.11</v>
      </c>
      <c r="E13" s="4"/>
      <c r="F13" s="4"/>
      <c r="G13" s="4"/>
      <c r="H13" s="4"/>
    </row>
    <row r="14" spans="1:8" x14ac:dyDescent="0.3">
      <c r="A14" s="1">
        <f>AVERAGE(A2:A13)</f>
        <v>1000.783</v>
      </c>
      <c r="B14" s="1">
        <f t="shared" ref="B14:D14" si="0">AVERAGE(B2:B13)</f>
        <v>234.62516666666662</v>
      </c>
      <c r="C14" s="1">
        <f t="shared" si="0"/>
        <v>763.29133333333323</v>
      </c>
      <c r="D14" s="1">
        <f t="shared" si="0"/>
        <v>1998.699166666667</v>
      </c>
      <c r="E14" s="4"/>
      <c r="F14" s="4"/>
      <c r="G14" s="4"/>
      <c r="H14" s="4"/>
    </row>
    <row r="18" spans="1:8" x14ac:dyDescent="0.3">
      <c r="A18" s="1" t="s">
        <v>0</v>
      </c>
      <c r="B18" s="1" t="s">
        <v>1</v>
      </c>
      <c r="C18" s="1" t="s">
        <v>2</v>
      </c>
      <c r="D18" s="1" t="s">
        <v>3</v>
      </c>
      <c r="E18" s="4"/>
      <c r="F18" s="4"/>
      <c r="G18" s="4"/>
      <c r="H18" s="4"/>
    </row>
    <row r="19" spans="1:8" x14ac:dyDescent="0.3">
      <c r="A19">
        <v>1447.64</v>
      </c>
      <c r="B19">
        <v>449.68</v>
      </c>
      <c r="C19">
        <v>1218.73</v>
      </c>
      <c r="D19">
        <v>3116.05</v>
      </c>
      <c r="E19" s="4"/>
      <c r="F19" s="4"/>
      <c r="G19" s="4"/>
      <c r="H19" s="4"/>
    </row>
    <row r="20" spans="1:8" x14ac:dyDescent="0.3">
      <c r="A20">
        <v>1588.82</v>
      </c>
      <c r="B20">
        <v>480.904</v>
      </c>
      <c r="C20">
        <v>1217.48</v>
      </c>
      <c r="D20">
        <v>3287.2</v>
      </c>
      <c r="E20" s="4"/>
      <c r="F20" s="4"/>
      <c r="G20" s="4"/>
      <c r="H20" s="4"/>
    </row>
    <row r="21" spans="1:8" x14ac:dyDescent="0.3">
      <c r="A21">
        <v>656.37800000000004</v>
      </c>
      <c r="B21">
        <v>536.24699999999996</v>
      </c>
      <c r="C21">
        <v>1217.8</v>
      </c>
      <c r="D21">
        <v>2410.4299999999998</v>
      </c>
      <c r="E21" s="4"/>
      <c r="F21" s="4"/>
      <c r="G21" s="4"/>
      <c r="H21" s="4"/>
    </row>
    <row r="22" spans="1:8" x14ac:dyDescent="0.3">
      <c r="A22">
        <v>1488.66</v>
      </c>
      <c r="B22">
        <v>479.952</v>
      </c>
      <c r="C22">
        <v>1218.04</v>
      </c>
      <c r="D22">
        <v>3186.65</v>
      </c>
      <c r="E22" s="4"/>
      <c r="F22" s="5" t="s">
        <v>9</v>
      </c>
      <c r="G22" s="5"/>
      <c r="H22" s="5"/>
    </row>
    <row r="23" spans="1:8" x14ac:dyDescent="0.3">
      <c r="A23">
        <v>1021.88</v>
      </c>
      <c r="B23">
        <v>571.93499999999995</v>
      </c>
      <c r="C23">
        <v>1217.04</v>
      </c>
      <c r="D23">
        <v>2810.85</v>
      </c>
      <c r="E23" s="4"/>
      <c r="F23" s="5"/>
      <c r="G23" s="5"/>
      <c r="H23" s="5"/>
    </row>
    <row r="24" spans="1:8" x14ac:dyDescent="0.3">
      <c r="A24">
        <v>809.02099999999996</v>
      </c>
      <c r="B24">
        <v>514.68499999999995</v>
      </c>
      <c r="C24">
        <v>1217.78</v>
      </c>
      <c r="D24">
        <v>2541.4899999999998</v>
      </c>
      <c r="E24" s="4"/>
      <c r="F24" s="5"/>
      <c r="G24" s="5"/>
      <c r="H24" s="5"/>
    </row>
    <row r="25" spans="1:8" x14ac:dyDescent="0.3">
      <c r="A25">
        <v>798.60400000000004</v>
      </c>
      <c r="B25">
        <v>461.41199999999998</v>
      </c>
      <c r="C25">
        <v>1216.95</v>
      </c>
      <c r="D25">
        <v>2476.96</v>
      </c>
      <c r="E25" s="4"/>
      <c r="F25" s="5"/>
      <c r="G25" s="5"/>
      <c r="H25" s="5"/>
    </row>
    <row r="26" spans="1:8" x14ac:dyDescent="0.3">
      <c r="A26">
        <v>1111.05</v>
      </c>
      <c r="B26">
        <v>471.07499999999999</v>
      </c>
      <c r="C26">
        <v>1217.3</v>
      </c>
      <c r="D26">
        <v>2799.43</v>
      </c>
      <c r="E26" s="4"/>
      <c r="F26" s="5"/>
      <c r="G26" s="5"/>
      <c r="H26" s="5"/>
    </row>
    <row r="27" spans="1:8" x14ac:dyDescent="0.3">
      <c r="A27">
        <v>788.68299999999999</v>
      </c>
      <c r="B27">
        <v>504.75799999999998</v>
      </c>
      <c r="C27">
        <v>2082.98</v>
      </c>
      <c r="D27">
        <v>3376.42</v>
      </c>
      <c r="E27" s="4"/>
      <c r="F27" s="5"/>
      <c r="G27" s="5"/>
      <c r="H27" s="5"/>
    </row>
    <row r="28" spans="1:8" x14ac:dyDescent="0.3">
      <c r="A28" s="1">
        <f>AVERAGE(A19:A27)</f>
        <v>1078.9706666666668</v>
      </c>
      <c r="B28" s="1">
        <f>AVERAGE(B19:B27)</f>
        <v>496.73866666666657</v>
      </c>
      <c r="C28" s="1">
        <f>AVERAGE(C19:C27)</f>
        <v>1313.7888888888888</v>
      </c>
      <c r="D28" s="1">
        <f>AVERAGE(D19:D27)</f>
        <v>2889.4977777777772</v>
      </c>
      <c r="E28" s="4"/>
      <c r="F28" s="4"/>
      <c r="G28" s="4"/>
      <c r="H28" s="4"/>
    </row>
  </sheetData>
  <mergeCells count="2">
    <mergeCell ref="F5:H11"/>
    <mergeCell ref="F22:H2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7B1-4A7B-41DE-B9DD-8F18363F8BF8}">
  <dimension ref="A1:H10"/>
  <sheetViews>
    <sheetView workbookViewId="0">
      <selection activeCell="H20" sqref="H20"/>
    </sheetView>
  </sheetViews>
  <sheetFormatPr defaultRowHeight="14.4" x14ac:dyDescent="0.3"/>
  <cols>
    <col min="1" max="1" width="11.109375" customWidth="1"/>
    <col min="2" max="2" width="14.88671875" customWidth="1"/>
    <col min="3" max="3" width="13.44140625" customWidth="1"/>
    <col min="4" max="4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">
      <c r="A2">
        <v>40.868499999999997</v>
      </c>
      <c r="B2">
        <v>163.761</v>
      </c>
      <c r="C2">
        <v>403.40499999999997</v>
      </c>
      <c r="D2">
        <v>608.07100000000003</v>
      </c>
    </row>
    <row r="3" spans="1:8" x14ac:dyDescent="0.3">
      <c r="A3">
        <v>65.139799999999994</v>
      </c>
      <c r="B3">
        <v>156.02600000000001</v>
      </c>
      <c r="C3">
        <v>404.24900000000002</v>
      </c>
      <c r="D3">
        <v>625.45299999999997</v>
      </c>
      <c r="F3" s="3" t="s">
        <v>6</v>
      </c>
      <c r="G3" s="3"/>
      <c r="H3" s="3"/>
    </row>
    <row r="4" spans="1:8" x14ac:dyDescent="0.3">
      <c r="A4">
        <v>41.559100000000001</v>
      </c>
      <c r="B4">
        <v>155.58500000000001</v>
      </c>
      <c r="C4">
        <v>401.97500000000002</v>
      </c>
      <c r="D4">
        <v>599.15700000000004</v>
      </c>
      <c r="F4" s="3"/>
      <c r="G4" s="3"/>
      <c r="H4" s="3"/>
    </row>
    <row r="5" spans="1:8" x14ac:dyDescent="0.3">
      <c r="A5">
        <v>25.250399999999999</v>
      </c>
      <c r="B5">
        <v>148.28700000000001</v>
      </c>
      <c r="C5">
        <v>407.49400000000003</v>
      </c>
      <c r="D5">
        <v>581.06500000000005</v>
      </c>
      <c r="F5" s="3"/>
      <c r="G5" s="3"/>
      <c r="H5" s="3"/>
    </row>
    <row r="6" spans="1:8" x14ac:dyDescent="0.3">
      <c r="A6">
        <v>60.9895</v>
      </c>
      <c r="B6">
        <v>167.16</v>
      </c>
      <c r="C6">
        <v>404.38900000000001</v>
      </c>
      <c r="D6">
        <v>632.58100000000002</v>
      </c>
      <c r="F6" s="3"/>
      <c r="G6" s="3"/>
      <c r="H6" s="3"/>
    </row>
    <row r="7" spans="1:8" x14ac:dyDescent="0.3">
      <c r="A7">
        <v>48.112000000000002</v>
      </c>
      <c r="B7">
        <v>159.005</v>
      </c>
      <c r="C7">
        <v>401.745</v>
      </c>
      <c r="D7">
        <v>608.91399999999999</v>
      </c>
      <c r="F7" s="3"/>
      <c r="G7" s="3"/>
      <c r="H7" s="3"/>
    </row>
    <row r="8" spans="1:8" x14ac:dyDescent="0.3">
      <c r="A8">
        <v>20.970300000000002</v>
      </c>
      <c r="B8">
        <v>154.28</v>
      </c>
      <c r="C8">
        <v>401.14600000000002</v>
      </c>
      <c r="D8">
        <v>576.45500000000004</v>
      </c>
      <c r="F8" s="3"/>
      <c r="G8" s="3"/>
      <c r="H8" s="3"/>
    </row>
    <row r="9" spans="1:8" x14ac:dyDescent="0.3">
      <c r="A9">
        <v>38.573300000000003</v>
      </c>
      <c r="B9">
        <v>162.76</v>
      </c>
      <c r="C9">
        <v>399.697</v>
      </c>
      <c r="D9">
        <v>601.07799999999997</v>
      </c>
    </row>
    <row r="10" spans="1:8" x14ac:dyDescent="0.3">
      <c r="A10" s="1">
        <f>AVERAGE(A2:A9)</f>
        <v>42.682862499999999</v>
      </c>
      <c r="B10" s="1">
        <f t="shared" ref="B10:D10" si="0">AVERAGE(B2:B9)</f>
        <v>158.358</v>
      </c>
      <c r="C10" s="1">
        <f t="shared" si="0"/>
        <v>403.01250000000005</v>
      </c>
      <c r="D10" s="1">
        <f t="shared" si="0"/>
        <v>604.09674999999993</v>
      </c>
    </row>
  </sheetData>
  <mergeCells count="1">
    <mergeCell ref="F3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E7D8-4BCB-47C0-9EDD-0CF29E59640B}">
  <dimension ref="A1:H12"/>
  <sheetViews>
    <sheetView workbookViewId="0">
      <selection activeCell="F4" sqref="F4:H9"/>
    </sheetView>
  </sheetViews>
  <sheetFormatPr defaultRowHeight="14.4" x14ac:dyDescent="0.3"/>
  <cols>
    <col min="1" max="1" width="10.44140625" customWidth="1"/>
    <col min="2" max="2" width="14.44140625" customWidth="1"/>
    <col min="3" max="3" width="15.44140625" customWidth="1"/>
    <col min="4" max="4" width="1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">
      <c r="A2">
        <v>6.7118000000000002</v>
      </c>
      <c r="B2">
        <v>62.064</v>
      </c>
      <c r="C2">
        <v>529.46</v>
      </c>
      <c r="D2">
        <v>598.23599999999999</v>
      </c>
    </row>
    <row r="3" spans="1:8" x14ac:dyDescent="0.3">
      <c r="A3">
        <v>10.0288</v>
      </c>
      <c r="B3">
        <v>60.12</v>
      </c>
      <c r="C3">
        <v>529.14400000000001</v>
      </c>
      <c r="D3">
        <v>599.29300000000001</v>
      </c>
    </row>
    <row r="4" spans="1:8" x14ac:dyDescent="0.3">
      <c r="A4">
        <v>8.7204099999999993</v>
      </c>
      <c r="B4">
        <v>63.362000000000002</v>
      </c>
      <c r="C4">
        <v>529.48900000000003</v>
      </c>
      <c r="D4">
        <v>601.57100000000003</v>
      </c>
      <c r="F4" s="3" t="s">
        <v>7</v>
      </c>
      <c r="G4" s="3"/>
      <c r="H4" s="3"/>
    </row>
    <row r="5" spans="1:8" x14ac:dyDescent="0.3">
      <c r="A5">
        <v>5.2352499999999997</v>
      </c>
      <c r="B5">
        <v>64.103499999999997</v>
      </c>
      <c r="C5">
        <v>529.37099999999998</v>
      </c>
      <c r="D5">
        <v>598.70899999999995</v>
      </c>
      <c r="F5" s="3"/>
      <c r="G5" s="3"/>
      <c r="H5" s="3"/>
    </row>
    <row r="6" spans="1:8" x14ac:dyDescent="0.3">
      <c r="A6">
        <v>13.586600000000001</v>
      </c>
      <c r="B6">
        <v>50.201799999999999</v>
      </c>
      <c r="C6">
        <v>528.95399999999995</v>
      </c>
      <c r="D6">
        <v>592.74199999999996</v>
      </c>
      <c r="F6" s="3"/>
      <c r="G6" s="3"/>
      <c r="H6" s="3"/>
    </row>
    <row r="7" spans="1:8" x14ac:dyDescent="0.3">
      <c r="A7">
        <v>6.1573500000000001</v>
      </c>
      <c r="B7">
        <v>76.258300000000006</v>
      </c>
      <c r="C7">
        <v>529.53899999999999</v>
      </c>
      <c r="D7">
        <v>611.95500000000004</v>
      </c>
      <c r="F7" s="3"/>
      <c r="G7" s="3"/>
      <c r="H7" s="3"/>
    </row>
    <row r="8" spans="1:8" x14ac:dyDescent="0.3">
      <c r="A8">
        <v>14.8942</v>
      </c>
      <c r="B8">
        <v>80.645300000000006</v>
      </c>
      <c r="C8">
        <v>529.32600000000002</v>
      </c>
      <c r="D8">
        <v>624.86599999999999</v>
      </c>
      <c r="F8" s="3"/>
      <c r="G8" s="3"/>
      <c r="H8" s="3"/>
    </row>
    <row r="9" spans="1:8" x14ac:dyDescent="0.3">
      <c r="A9">
        <v>7.2161900000000001</v>
      </c>
      <c r="B9">
        <v>65.826700000000002</v>
      </c>
      <c r="C9">
        <v>528.99099999999999</v>
      </c>
      <c r="D9">
        <v>602.03399999999999</v>
      </c>
      <c r="F9" s="3"/>
      <c r="G9" s="3"/>
      <c r="H9" s="3"/>
    </row>
    <row r="10" spans="1:8" x14ac:dyDescent="0.3">
      <c r="A10">
        <v>12.283300000000001</v>
      </c>
      <c r="B10">
        <v>60.371499999999997</v>
      </c>
      <c r="C10">
        <v>529.07899999999995</v>
      </c>
      <c r="D10">
        <v>601.73299999999995</v>
      </c>
    </row>
    <row r="11" spans="1:8" x14ac:dyDescent="0.3">
      <c r="A11">
        <v>1.3990199999999999</v>
      </c>
      <c r="B11">
        <v>72.088300000000004</v>
      </c>
      <c r="C11">
        <v>529.303</v>
      </c>
      <c r="D11">
        <v>602.79</v>
      </c>
    </row>
    <row r="12" spans="1:8" x14ac:dyDescent="0.3">
      <c r="A12" s="1">
        <f>AVERAGE(A2:A11)</f>
        <v>8.6232919999999993</v>
      </c>
      <c r="B12" s="1">
        <f t="shared" ref="B12:D12" si="0">AVERAGE(B2:B11)</f>
        <v>65.504139999999992</v>
      </c>
      <c r="C12" s="1">
        <f t="shared" si="0"/>
        <v>529.26559999999995</v>
      </c>
      <c r="D12" s="1">
        <f t="shared" si="0"/>
        <v>603.39289999999994</v>
      </c>
    </row>
  </sheetData>
  <mergeCells count="1">
    <mergeCell ref="F4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9EFD-938D-46CF-AE9C-A1658789A162}">
  <dimension ref="A1:H14"/>
  <sheetViews>
    <sheetView workbookViewId="0">
      <selection activeCell="H12" sqref="H12"/>
    </sheetView>
  </sheetViews>
  <sheetFormatPr defaultRowHeight="14.4" x14ac:dyDescent="0.3"/>
  <cols>
    <col min="1" max="1" width="11.6640625" customWidth="1"/>
    <col min="2" max="2" width="14.88671875" customWidth="1"/>
    <col min="3" max="3" width="14.109375" customWidth="1"/>
    <col min="4" max="4" width="1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">
      <c r="A2">
        <v>90.386600000000001</v>
      </c>
      <c r="B2">
        <v>157.148</v>
      </c>
      <c r="C2">
        <v>277.947</v>
      </c>
      <c r="D2">
        <v>512.91099999999994</v>
      </c>
    </row>
    <row r="3" spans="1:8" x14ac:dyDescent="0.3">
      <c r="A3">
        <v>77.516099999999994</v>
      </c>
      <c r="B3">
        <v>166.607</v>
      </c>
      <c r="C3">
        <v>341.149</v>
      </c>
      <c r="D3">
        <v>595.33100000000002</v>
      </c>
    </row>
    <row r="4" spans="1:8" x14ac:dyDescent="0.3">
      <c r="A4">
        <v>86.985600000000005</v>
      </c>
      <c r="B4">
        <v>160.88900000000001</v>
      </c>
      <c r="C4">
        <v>275.01</v>
      </c>
      <c r="D4">
        <v>511.83100000000002</v>
      </c>
      <c r="F4" s="3" t="s">
        <v>8</v>
      </c>
      <c r="G4" s="3"/>
      <c r="H4" s="3"/>
    </row>
    <row r="5" spans="1:8" x14ac:dyDescent="0.3">
      <c r="A5">
        <v>75.544399999999996</v>
      </c>
      <c r="B5">
        <v>188.65899999999999</v>
      </c>
      <c r="C5">
        <v>356.82400000000001</v>
      </c>
      <c r="D5">
        <v>632.745</v>
      </c>
      <c r="F5" s="3"/>
      <c r="G5" s="3"/>
      <c r="H5" s="3"/>
    </row>
    <row r="6" spans="1:8" x14ac:dyDescent="0.3">
      <c r="A6">
        <v>87.072500000000005</v>
      </c>
      <c r="B6">
        <v>156.494</v>
      </c>
      <c r="C6">
        <v>276.81400000000002</v>
      </c>
      <c r="D6">
        <v>507.96300000000002</v>
      </c>
      <c r="F6" s="3"/>
      <c r="G6" s="3"/>
      <c r="H6" s="3"/>
    </row>
    <row r="7" spans="1:8" x14ac:dyDescent="0.3">
      <c r="A7">
        <v>74.323999999999998</v>
      </c>
      <c r="B7">
        <v>157.91399999999999</v>
      </c>
      <c r="C7">
        <v>275.74799999999999</v>
      </c>
      <c r="D7">
        <v>509.60300000000001</v>
      </c>
      <c r="F7" s="3"/>
      <c r="G7" s="3"/>
      <c r="H7" s="3"/>
    </row>
    <row r="8" spans="1:8" x14ac:dyDescent="0.3">
      <c r="A8">
        <v>75.686000000000007</v>
      </c>
      <c r="B8">
        <v>166.12700000000001</v>
      </c>
      <c r="C8">
        <v>287.43299999999999</v>
      </c>
      <c r="D8">
        <v>538.44600000000003</v>
      </c>
      <c r="F8" s="3"/>
      <c r="G8" s="3"/>
      <c r="H8" s="3"/>
    </row>
    <row r="9" spans="1:8" x14ac:dyDescent="0.3">
      <c r="A9">
        <v>84.513199999999998</v>
      </c>
      <c r="B9">
        <v>169.43899999999999</v>
      </c>
      <c r="C9">
        <v>275.56200000000001</v>
      </c>
      <c r="D9">
        <v>522.10599999999999</v>
      </c>
      <c r="F9" s="3"/>
      <c r="G9" s="3"/>
      <c r="H9" s="3"/>
    </row>
    <row r="10" spans="1:8" x14ac:dyDescent="0.3">
      <c r="A10">
        <v>76.591700000000003</v>
      </c>
      <c r="B10">
        <v>178.321</v>
      </c>
      <c r="C10">
        <v>283.00200000000001</v>
      </c>
      <c r="D10">
        <v>542.87699999999995</v>
      </c>
      <c r="F10" s="3"/>
      <c r="G10" s="3"/>
      <c r="H10" s="3"/>
    </row>
    <row r="11" spans="1:8" x14ac:dyDescent="0.3">
      <c r="A11">
        <v>81.247</v>
      </c>
      <c r="B11">
        <v>171.072</v>
      </c>
      <c r="C11">
        <v>284.29500000000002</v>
      </c>
      <c r="D11">
        <v>530.52599999999995</v>
      </c>
    </row>
    <row r="12" spans="1:8" x14ac:dyDescent="0.3">
      <c r="A12">
        <v>74.868399999999994</v>
      </c>
      <c r="B12">
        <v>176.27500000000001</v>
      </c>
      <c r="C12">
        <v>273.10899999999998</v>
      </c>
      <c r="D12">
        <v>532.61699999999996</v>
      </c>
    </row>
    <row r="13" spans="1:8" x14ac:dyDescent="0.3">
      <c r="A13">
        <v>82.970200000000006</v>
      </c>
      <c r="B13">
        <v>164.822</v>
      </c>
      <c r="C13">
        <v>276.13799999999998</v>
      </c>
      <c r="D13">
        <v>516.06600000000003</v>
      </c>
    </row>
    <row r="14" spans="1:8" x14ac:dyDescent="0.3">
      <c r="A14" s="1">
        <f>AVERAGE(A2:A13)</f>
        <v>80.642141666666646</v>
      </c>
      <c r="B14" s="1">
        <f t="shared" ref="B14:D14" si="0">AVERAGE(B2:B13)</f>
        <v>167.8139166666667</v>
      </c>
      <c r="C14" s="1">
        <f t="shared" si="0"/>
        <v>290.25258333333335</v>
      </c>
      <c r="D14" s="1">
        <f t="shared" si="0"/>
        <v>537.75183333333337</v>
      </c>
    </row>
  </sheetData>
  <mergeCells count="1">
    <mergeCell ref="F4:H10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93B5-A51D-42AE-92A7-2491AFFDA0EF}">
  <dimension ref="A1:H12"/>
  <sheetViews>
    <sheetView workbookViewId="0">
      <selection activeCell="J19" sqref="J19"/>
    </sheetView>
  </sheetViews>
  <sheetFormatPr defaultRowHeight="14.4" x14ac:dyDescent="0.3"/>
  <cols>
    <col min="1" max="1" width="11.109375" customWidth="1"/>
    <col min="2" max="2" width="19.33203125" customWidth="1"/>
    <col min="3" max="3" width="16.109375" customWidth="1"/>
    <col min="4" max="4" width="14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">
      <c r="A2">
        <v>34.915199999999999</v>
      </c>
      <c r="B2">
        <v>171.55699999999999</v>
      </c>
      <c r="C2">
        <v>155.15899999999999</v>
      </c>
      <c r="D2">
        <v>361.63200000000001</v>
      </c>
    </row>
    <row r="3" spans="1:8" x14ac:dyDescent="0.3">
      <c r="A3">
        <v>34.0105</v>
      </c>
      <c r="B3">
        <v>193.55</v>
      </c>
      <c r="C3">
        <v>155.16499999999999</v>
      </c>
      <c r="D3">
        <v>382.726</v>
      </c>
      <c r="F3" s="3" t="s">
        <v>8</v>
      </c>
      <c r="G3" s="3"/>
      <c r="H3" s="3"/>
    </row>
    <row r="4" spans="1:8" x14ac:dyDescent="0.3">
      <c r="A4">
        <v>34.466999999999999</v>
      </c>
      <c r="B4">
        <v>177.85400000000001</v>
      </c>
      <c r="C4">
        <v>155.20500000000001</v>
      </c>
      <c r="D4">
        <v>367.52699999999999</v>
      </c>
      <c r="F4" s="3"/>
      <c r="G4" s="3"/>
      <c r="H4" s="3"/>
    </row>
    <row r="5" spans="1:8" x14ac:dyDescent="0.3">
      <c r="A5">
        <v>33.94</v>
      </c>
      <c r="B5">
        <v>237.52199999999999</v>
      </c>
      <c r="C5">
        <v>155.11699999999999</v>
      </c>
      <c r="D5">
        <v>426.57900000000001</v>
      </c>
      <c r="F5" s="3"/>
      <c r="G5" s="3"/>
      <c r="H5" s="3"/>
    </row>
    <row r="6" spans="1:8" x14ac:dyDescent="0.3">
      <c r="A6">
        <v>33.119</v>
      </c>
      <c r="B6">
        <v>163.58000000000001</v>
      </c>
      <c r="C6">
        <v>155.13</v>
      </c>
      <c r="D6">
        <v>351.82900000000001</v>
      </c>
      <c r="F6" s="3"/>
      <c r="G6" s="3"/>
      <c r="H6" s="3"/>
    </row>
    <row r="7" spans="1:8" x14ac:dyDescent="0.3">
      <c r="A7">
        <v>33.134399999999999</v>
      </c>
      <c r="B7">
        <v>204.24700000000001</v>
      </c>
      <c r="C7">
        <v>155.15899999999999</v>
      </c>
      <c r="D7">
        <v>392.54</v>
      </c>
      <c r="F7" s="3"/>
      <c r="G7" s="3"/>
      <c r="H7" s="3"/>
    </row>
    <row r="8" spans="1:8" x14ac:dyDescent="0.3">
      <c r="A8">
        <v>33.949100000000001</v>
      </c>
      <c r="B8">
        <v>223.99299999999999</v>
      </c>
      <c r="C8">
        <v>155.11099999999999</v>
      </c>
      <c r="D8">
        <v>413.053</v>
      </c>
      <c r="F8" s="3"/>
      <c r="G8" s="3"/>
      <c r="H8" s="3"/>
    </row>
    <row r="9" spans="1:8" x14ac:dyDescent="0.3">
      <c r="A9">
        <v>33.193199999999997</v>
      </c>
      <c r="B9">
        <v>299.59300000000002</v>
      </c>
      <c r="C9">
        <v>155.102</v>
      </c>
      <c r="D9">
        <v>487.88900000000001</v>
      </c>
      <c r="F9" s="3"/>
      <c r="G9" s="3"/>
      <c r="H9" s="3"/>
    </row>
    <row r="10" spans="1:8" x14ac:dyDescent="0.3">
      <c r="A10">
        <v>32.6663</v>
      </c>
      <c r="B10">
        <v>237.73699999999999</v>
      </c>
      <c r="C10">
        <v>155.226</v>
      </c>
      <c r="D10">
        <v>425.63</v>
      </c>
    </row>
    <row r="11" spans="1:8" x14ac:dyDescent="0.3">
      <c r="A11">
        <v>33.050800000000002</v>
      </c>
      <c r="B11">
        <v>232.21100000000001</v>
      </c>
      <c r="C11">
        <v>155.22</v>
      </c>
      <c r="D11">
        <v>420.48200000000003</v>
      </c>
    </row>
    <row r="12" spans="1:8" x14ac:dyDescent="0.3">
      <c r="A12" s="2">
        <f>AVERAGE(A2:A11)</f>
        <v>33.644549999999995</v>
      </c>
      <c r="B12" s="2">
        <f t="shared" ref="B12:D12" si="0">AVERAGE(B2:B11)</f>
        <v>214.18440000000001</v>
      </c>
      <c r="C12" s="2">
        <f t="shared" si="0"/>
        <v>155.15939999999998</v>
      </c>
      <c r="D12" s="2">
        <f t="shared" si="0"/>
        <v>402.98869999999999</v>
      </c>
    </row>
  </sheetData>
  <mergeCells count="1">
    <mergeCell ref="F3:H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HighP5-Bluf</vt:lpstr>
      <vt:lpstr>Ref-Bluf</vt:lpstr>
      <vt:lpstr>HighP5-Stencil</vt:lpstr>
      <vt:lpstr>Ref-Stencil</vt:lpstr>
      <vt:lpstr>HighP5-CG</vt:lpstr>
      <vt:lpstr>Reference-CG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2026-09-04T08:07:58Z</dcterms:modified>
</cp:coreProperties>
</file>